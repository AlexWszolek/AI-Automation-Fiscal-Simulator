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lex/Downloads/"/>
    </mc:Choice>
  </mc:AlternateContent>
  <xr:revisionPtr revIDLastSave="0" documentId="8_{C4322D46-ED9D-B448-84EF-C9691E6B9815}" xr6:coauthVersionLast="47" xr6:coauthVersionMax="47" xr10:uidLastSave="{00000000-0000-0000-0000-000000000000}"/>
  <bookViews>
    <workbookView xWindow="14840" yWindow="-7160" windowWidth="19200" windowHeight="7180" tabRatio="500" xr2:uid="{00000000-000D-0000-FFFF-FFFF00000000}"/>
  </bookViews>
  <sheets>
    <sheet name="Receipts" sheetId="1" r:id="rId1"/>
    <sheet name="Transfers &amp; stabilizers" sheetId="2" r:id="rId2"/>
    <sheet name="Base linkage &amp; eff. rates" sheetId="3" r:id="rId3"/>
    <sheet name="READ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3" l="1"/>
  <c r="D5" i="3"/>
  <c r="D4" i="3"/>
  <c r="G4" i="3" s="1"/>
  <c r="G3" i="3"/>
  <c r="D3" i="3"/>
  <c r="G2" i="3"/>
  <c r="D2" i="3"/>
  <c r="C20" i="2"/>
  <c r="C19" i="2"/>
  <c r="C17" i="1"/>
</calcChain>
</file>

<file path=xl/sharedStrings.xml><?xml version="1.0" encoding="utf-8"?>
<sst xmlns="http://schemas.openxmlformats.org/spreadsheetml/2006/main" count="179" uniqueCount="120">
  <si>
    <t>Level</t>
  </si>
  <si>
    <t>Receipt source</t>
  </si>
  <si>
    <t>2024 ($B)</t>
  </si>
  <si>
    <t>Maps to base</t>
  </si>
  <si>
    <t>Notes</t>
  </si>
  <si>
    <t>Federal</t>
  </si>
  <si>
    <t>Personal current taxes</t>
  </si>
  <si>
    <t>Labor compensation (+ capital income)</t>
  </si>
  <si>
    <t>Individual income tax; bracket-level effective rates from SOI/Tax-Simulator</t>
  </si>
  <si>
    <t>Contributions for social insurance</t>
  </si>
  <si>
    <t>Compensation (payroll)</t>
  </si>
  <si>
    <t>OASDHI + FUTA; OASDI capped at SS wage base, HI uncapped</t>
  </si>
  <si>
    <t>Taxes on corporate income</t>
  </si>
  <si>
    <t>Corporate profits</t>
  </si>
  <si>
    <t>Federal corporate income tax</t>
  </si>
  <si>
    <t>Excise taxes</t>
  </si>
  <si>
    <t>Consumption</t>
  </si>
  <si>
    <t>Maps to PCE</t>
  </si>
  <si>
    <t>Customs duties</t>
  </si>
  <si>
    <t>Imports</t>
  </si>
  <si>
    <t>Tariffs</t>
  </si>
  <si>
    <t>Other production taxes</t>
  </si>
  <si>
    <t>State &amp; local</t>
  </si>
  <si>
    <t>Personal current taxes — income</t>
  </si>
  <si>
    <t>State income tax (state bracket file)</t>
  </si>
  <si>
    <t>Personal current taxes — other</t>
  </si>
  <si>
    <t>Mixed</t>
  </si>
  <si>
    <t>Sales taxes</t>
  </si>
  <si>
    <t>Maps to PCE; primary state stabilizer-exposed base</t>
  </si>
  <si>
    <t>Property taxes</t>
  </si>
  <si>
    <t>Property (wealth)</t>
  </si>
  <si>
    <t>Automation-insensitive in short run</t>
  </si>
  <si>
    <t>State corporate tax</t>
  </si>
  <si>
    <t>State UI / WC / TDI</t>
  </si>
  <si>
    <t>Federal grants-in-aid</t>
  </si>
  <si>
    <t>Intergovernmental</t>
  </si>
  <si>
    <t>Funds Medicaid (FMAP) etc.; NOT a tax base</t>
  </si>
  <si>
    <t>TOTAL current tax + social insurance receipts</t>
  </si>
  <si>
    <t>Program</t>
  </si>
  <si>
    <t>Automation-sensitivity</t>
  </si>
  <si>
    <t>Social Security (OASDI)</t>
  </si>
  <si>
    <t>No</t>
  </si>
  <si>
    <t>Demographic</t>
  </si>
  <si>
    <t>Medicare</t>
  </si>
  <si>
    <t>Age-based</t>
  </si>
  <si>
    <t>Unemployment insurance</t>
  </si>
  <si>
    <t>HIGH</t>
  </si>
  <si>
    <t>Front-line stabilizer; time-limited (UI exhaustion); explodes in downturns</t>
  </si>
  <si>
    <t>SNAP</t>
  </si>
  <si>
    <t>Means-tested; rises with unemployment</t>
  </si>
  <si>
    <t>Supplemental Security Income</t>
  </si>
  <si>
    <t>Medium</t>
  </si>
  <si>
    <t>Means-tested</t>
  </si>
  <si>
    <t>Refundable tax credits (EITC/CTC)</t>
  </si>
  <si>
    <t>EITC falls as earnings fall</t>
  </si>
  <si>
    <t>Veterans' benefits</t>
  </si>
  <si>
    <t>Other federal benefits</t>
  </si>
  <si>
    <t>Low</t>
  </si>
  <si>
    <t>Railroad, PBGC, WC, military medical, black lung, other</t>
  </si>
  <si>
    <t>Medicaid</t>
  </si>
  <si>
    <t>Largest means-tested program; ~65% federally funded via FMAP grants-in-aid</t>
  </si>
  <si>
    <t>Other medical care</t>
  </si>
  <si>
    <t>Family assistance (TANF)</t>
  </si>
  <si>
    <t>General assistance</t>
  </si>
  <si>
    <t>Med-High</t>
  </si>
  <si>
    <t>Means-tested, state-funded</t>
  </si>
  <si>
    <t>SSI supplement</t>
  </si>
  <si>
    <t>Energy assistance (LIHEAP)</t>
  </si>
  <si>
    <t>Education benefits</t>
  </si>
  <si>
    <t>TDI / Workers' compensation</t>
  </si>
  <si>
    <t>Other S&amp;L benefits</t>
  </si>
  <si>
    <t>All transfers (total)</t>
  </si>
  <si>
    <t>Automation-sensitive subtotal (HIGH+Medium)</t>
  </si>
  <si>
    <t>UI, SNAP, Medicaid, SSI, TANF, general &amp; energy assistance, refundable credits</t>
  </si>
  <si>
    <t>Tax stream</t>
  </si>
  <si>
    <t>Federal ($B)</t>
  </si>
  <si>
    <t>State &amp; local ($B)</t>
  </si>
  <si>
    <t>Total ($B)</t>
  </si>
  <si>
    <t>Model base</t>
  </si>
  <si>
    <t>Base ($B)</t>
  </si>
  <si>
    <t>Avg effective rate</t>
  </si>
  <si>
    <t>Individual income tax</t>
  </si>
  <si>
    <t>Compensation (labor; + capital)</t>
  </si>
  <si>
    <t>Social insurance (payroll)</t>
  </si>
  <si>
    <t>Compensation</t>
  </si>
  <si>
    <t>Corporate income tax</t>
  </si>
  <si>
    <t>Corporate profits before tax</t>
  </si>
  <si>
    <t>Consumption taxes (sales+excise+customs)</t>
  </si>
  <si>
    <t>Personal consumption (PCE)</t>
  </si>
  <si>
    <t>(load PCE / property base)</t>
  </si>
  <si>
    <t>n/a — base pending</t>
  </si>
  <si>
    <t>Property tax</t>
  </si>
  <si>
    <t>Property wealth</t>
  </si>
  <si>
    <t>Government fiscal accounts — receipts mapped to bases + automatic stabilizers (2024)</t>
  </si>
  <si>
    <t>Sources: BEA NIPA 3.2 (federal), 3.3 (state &amp; local), 3.6 (social insurance), 3.12 (social</t>
  </si>
  <si>
    <t>benefits). Federal/state are 2024 quarterly averages; all figures $billions.</t>
  </si>
  <si>
    <t>Receipts → base mapping (this is what the kernel perturbs):</t>
  </si>
  <si>
    <t>• Individual income tax (fed 2,403 + state 536) → labor compensation, by wage bracket. Note it</t>
  </si>
  <si>
    <t xml:space="preserve">  also taxes capital income (dividends, cap gains, proprietor), so the labor effective rate must</t>
  </si>
  <si>
    <t xml:space="preserve">  come from SOI / Tax-Simulator bracket schedules, not just total/compensation.</t>
  </si>
  <si>
    <t>• Social insurance (fed 1,903 + state 27) → compensation. OASDI capped at the SS wage base, HI</t>
  </si>
  <si>
    <t xml:space="preserve">  uncapped, UI capped at a low base — so automating high-wage jobs loses less payroll tax per</t>
  </si>
  <si>
    <t xml:space="preserve">  dollar of wage than automating low-wage jobs (the opposite skew from income tax).</t>
  </si>
  <si>
    <t>• Corporate income tax (fed 492 + state 172 = 664) → corporate profits. Implied 17.8% effective,</t>
  </si>
  <si>
    <t xml:space="preserve">  cross-checking the 18.3% from the capital-income layer (6.18D/6.17D).</t>
  </si>
  <si>
    <t>• Consumption taxes (1,057) → PCE (base not yet loaded). Property tax (752) → wealth, short-run</t>
  </si>
  <si>
    <t xml:space="preserve">  automation-insensitive. Both flagged 'pending base'.</t>
  </si>
  <si>
    <t>Outlays — the automatic stabilizers (highlighted):</t>
  </si>
  <si>
    <t>• The transfers that rise with displacement are UI, SNAP, Medicaid, SSI, TANF, general &amp; energy</t>
  </si>
  <si>
    <t xml:space="preserve">  assistance, and (partly) refundable credits. Social Security, Medicare, veterans', and education</t>
  </si>
  <si>
    <t xml:space="preserve">  benefits do NOT move with automation and are held fixed in the kernel.</t>
  </si>
  <si>
    <t>• UI is only $36B in 2024 (a low-unemployment year) but is the explosive, time-limited front line;</t>
  </si>
  <si>
    <t xml:space="preserve">  model UI exhaustion (cohorts age off ~26 weeks onto means-tested programs).</t>
  </si>
  <si>
    <t>Federal ↔ state linkage (critical):</t>
  </si>
  <si>
    <t>• Medicaid ($938B) is administered by states but ~65% federally funded through the $962B</t>
  </si>
  <si>
    <t xml:space="preserve">  grants-in-aid line. So a Medicaid increase splits ~65% federal / ~35% state — the kernel must</t>
  </si>
  <si>
    <t xml:space="preserve">  route stabilizer costs accordingly, not assign all of Medicaid to states.</t>
  </si>
  <si>
    <t>• Balanced-budget asymmetry: federal ran ~ -$2,106B net borrowing (can persist); state &amp; local</t>
  </si>
  <si>
    <t xml:space="preserve">  -$260B is mostly capital/pension, operating budgets must balance. State stabilizer increases must</t>
  </si>
  <si>
    <t xml:space="preserve">  be financed within-year — spending cuts or rate hikes — a contractionary amplifier in downturns.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</si>
</sst>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"/>
    <numFmt numFmtId="165" formatCode="0.0%"/>
  </numFmts>
  <fonts count="7" x14ac:knownFonts="1">
    <font>
      <sz val="11"/>
      <color theme="1"/>
      <name val="Calibri"/>
      <family val="2"/>
      <charset val="1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CE4D6"/>
        <bgColor rgb="FFE6E6E6"/>
      </patternFill>
    </fill>
  </fills>
  <borders count="2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165" fontId="2" fillId="0" borderId="1" xfId="0" applyNumberFormat="1" applyFont="1" applyBorder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E6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3" customWidth="1"/>
    <col min="2" max="2" width="40" customWidth="1"/>
    <col min="3" max="3" width="12" customWidth="1"/>
    <col min="4" max="4" width="38" customWidth="1"/>
    <col min="5" max="5" width="52" customWidth="1"/>
  </cols>
  <sheetData>
    <row r="1" spans="1:5" ht="39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3">
        <v>2403.1999999999998</v>
      </c>
      <c r="D2" s="2" t="s">
        <v>7</v>
      </c>
      <c r="E2" s="2" t="s">
        <v>8</v>
      </c>
    </row>
    <row r="3" spans="1:5" x14ac:dyDescent="0.2">
      <c r="A3" s="2" t="s">
        <v>5</v>
      </c>
      <c r="B3" s="2" t="s">
        <v>9</v>
      </c>
      <c r="C3" s="3">
        <v>1902.7</v>
      </c>
      <c r="D3" s="2" t="s">
        <v>10</v>
      </c>
      <c r="E3" s="2" t="s">
        <v>11</v>
      </c>
    </row>
    <row r="4" spans="1:5" x14ac:dyDescent="0.2">
      <c r="A4" s="2" t="s">
        <v>5</v>
      </c>
      <c r="B4" s="2" t="s">
        <v>12</v>
      </c>
      <c r="C4" s="3">
        <v>491.7</v>
      </c>
      <c r="D4" s="2" t="s">
        <v>13</v>
      </c>
      <c r="E4" s="2" t="s">
        <v>14</v>
      </c>
    </row>
    <row r="5" spans="1:5" x14ac:dyDescent="0.2">
      <c r="A5" s="2" t="s">
        <v>5</v>
      </c>
      <c r="B5" s="2" t="s">
        <v>15</v>
      </c>
      <c r="C5" s="3">
        <v>100</v>
      </c>
      <c r="D5" s="2" t="s">
        <v>16</v>
      </c>
      <c r="E5" s="2" t="s">
        <v>17</v>
      </c>
    </row>
    <row r="6" spans="1:5" x14ac:dyDescent="0.2">
      <c r="A6" s="2" t="s">
        <v>5</v>
      </c>
      <c r="B6" s="2" t="s">
        <v>18</v>
      </c>
      <c r="C6" s="3">
        <v>83.6</v>
      </c>
      <c r="D6" s="2" t="s">
        <v>19</v>
      </c>
      <c r="E6" s="2" t="s">
        <v>20</v>
      </c>
    </row>
    <row r="7" spans="1:5" x14ac:dyDescent="0.2">
      <c r="A7" s="2" t="s">
        <v>5</v>
      </c>
      <c r="B7" s="2" t="s">
        <v>21</v>
      </c>
      <c r="C7" s="3">
        <v>1.6</v>
      </c>
      <c r="D7" s="2" t="s">
        <v>16</v>
      </c>
      <c r="E7" s="2"/>
    </row>
    <row r="8" spans="1:5" x14ac:dyDescent="0.2">
      <c r="A8" s="2" t="s">
        <v>22</v>
      </c>
      <c r="B8" s="2" t="s">
        <v>23</v>
      </c>
      <c r="C8" s="3">
        <v>536.20000000000005</v>
      </c>
      <c r="D8" s="2" t="s">
        <v>7</v>
      </c>
      <c r="E8" s="2" t="s">
        <v>24</v>
      </c>
    </row>
    <row r="9" spans="1:5" x14ac:dyDescent="0.2">
      <c r="A9" s="2" t="s">
        <v>22</v>
      </c>
      <c r="B9" s="2" t="s">
        <v>25</v>
      </c>
      <c r="C9" s="3">
        <v>48.8</v>
      </c>
      <c r="D9" s="2" t="s">
        <v>26</v>
      </c>
      <c r="E9" s="2"/>
    </row>
    <row r="10" spans="1:5" x14ac:dyDescent="0.2">
      <c r="A10" s="2" t="s">
        <v>22</v>
      </c>
      <c r="B10" s="2" t="s">
        <v>27</v>
      </c>
      <c r="C10" s="3">
        <v>602.4</v>
      </c>
      <c r="D10" s="2" t="s">
        <v>16</v>
      </c>
      <c r="E10" s="2" t="s">
        <v>28</v>
      </c>
    </row>
    <row r="11" spans="1:5" x14ac:dyDescent="0.2">
      <c r="A11" s="2" t="s">
        <v>22</v>
      </c>
      <c r="B11" s="2" t="s">
        <v>15</v>
      </c>
      <c r="C11" s="3">
        <v>271.3</v>
      </c>
      <c r="D11" s="2" t="s">
        <v>16</v>
      </c>
      <c r="E11" s="2"/>
    </row>
    <row r="12" spans="1:5" x14ac:dyDescent="0.2">
      <c r="A12" s="2" t="s">
        <v>22</v>
      </c>
      <c r="B12" s="2" t="s">
        <v>29</v>
      </c>
      <c r="C12" s="3">
        <v>752.2</v>
      </c>
      <c r="D12" s="2" t="s">
        <v>30</v>
      </c>
      <c r="E12" s="2" t="s">
        <v>31</v>
      </c>
    </row>
    <row r="13" spans="1:5" x14ac:dyDescent="0.2">
      <c r="A13" s="2" t="s">
        <v>22</v>
      </c>
      <c r="B13" s="2" t="s">
        <v>21</v>
      </c>
      <c r="C13" s="3">
        <v>143.69999999999999</v>
      </c>
      <c r="D13" s="2" t="s">
        <v>26</v>
      </c>
      <c r="E13" s="2"/>
    </row>
    <row r="14" spans="1:5" x14ac:dyDescent="0.2">
      <c r="A14" s="2" t="s">
        <v>22</v>
      </c>
      <c r="B14" s="2" t="s">
        <v>12</v>
      </c>
      <c r="C14" s="3">
        <v>172</v>
      </c>
      <c r="D14" s="2" t="s">
        <v>13</v>
      </c>
      <c r="E14" s="2" t="s">
        <v>32</v>
      </c>
    </row>
    <row r="15" spans="1:5" x14ac:dyDescent="0.2">
      <c r="A15" s="2" t="s">
        <v>22</v>
      </c>
      <c r="B15" s="2" t="s">
        <v>9</v>
      </c>
      <c r="C15" s="3">
        <v>26.9</v>
      </c>
      <c r="D15" s="2" t="s">
        <v>10</v>
      </c>
      <c r="E15" s="2" t="s">
        <v>33</v>
      </c>
    </row>
    <row r="16" spans="1:5" x14ac:dyDescent="0.2">
      <c r="A16" s="2" t="s">
        <v>22</v>
      </c>
      <c r="B16" s="2" t="s">
        <v>34</v>
      </c>
      <c r="C16" s="3">
        <v>961.5</v>
      </c>
      <c r="D16" s="2" t="s">
        <v>35</v>
      </c>
      <c r="E16" s="2" t="s">
        <v>36</v>
      </c>
    </row>
    <row r="17" spans="1:5" x14ac:dyDescent="0.2">
      <c r="A17" s="4"/>
      <c r="B17" s="4" t="s">
        <v>37</v>
      </c>
      <c r="C17" s="5">
        <f>SUM(C2:C16)</f>
        <v>8497.7999999999993</v>
      </c>
      <c r="D17" s="4"/>
      <c r="E17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3" customWidth="1"/>
    <col min="2" max="2" width="42" customWidth="1"/>
    <col min="3" max="3" width="12" customWidth="1"/>
    <col min="4" max="4" width="22" customWidth="1"/>
    <col min="5" max="5" width="58" customWidth="1"/>
  </cols>
  <sheetData>
    <row r="1" spans="1:5" ht="39.75" customHeight="1" x14ac:dyDescent="0.2">
      <c r="A1" s="1" t="s">
        <v>0</v>
      </c>
      <c r="B1" s="1" t="s">
        <v>38</v>
      </c>
      <c r="C1" s="1" t="s">
        <v>2</v>
      </c>
      <c r="D1" s="1" t="s">
        <v>39</v>
      </c>
      <c r="E1" s="1" t="s">
        <v>4</v>
      </c>
    </row>
    <row r="2" spans="1:5" x14ac:dyDescent="0.2">
      <c r="A2" s="2" t="s">
        <v>5</v>
      </c>
      <c r="B2" s="2" t="s">
        <v>40</v>
      </c>
      <c r="C2" s="3">
        <v>1448</v>
      </c>
      <c r="D2" s="2" t="s">
        <v>41</v>
      </c>
      <c r="E2" s="2" t="s">
        <v>42</v>
      </c>
    </row>
    <row r="3" spans="1:5" x14ac:dyDescent="0.2">
      <c r="A3" s="2" t="s">
        <v>5</v>
      </c>
      <c r="B3" s="2" t="s">
        <v>43</v>
      </c>
      <c r="C3" s="3">
        <v>1102.4000000000001</v>
      </c>
      <c r="D3" s="2" t="s">
        <v>41</v>
      </c>
      <c r="E3" s="2" t="s">
        <v>44</v>
      </c>
    </row>
    <row r="4" spans="1:5" x14ac:dyDescent="0.2">
      <c r="A4" s="6" t="s">
        <v>5</v>
      </c>
      <c r="B4" s="6" t="s">
        <v>45</v>
      </c>
      <c r="C4" s="7">
        <v>36.5</v>
      </c>
      <c r="D4" s="6" t="s">
        <v>46</v>
      </c>
      <c r="E4" s="6" t="s">
        <v>47</v>
      </c>
    </row>
    <row r="5" spans="1:5" x14ac:dyDescent="0.2">
      <c r="A5" s="6" t="s">
        <v>5</v>
      </c>
      <c r="B5" s="6" t="s">
        <v>48</v>
      </c>
      <c r="C5" s="7">
        <v>97.4</v>
      </c>
      <c r="D5" s="6" t="s">
        <v>46</v>
      </c>
      <c r="E5" s="6" t="s">
        <v>49</v>
      </c>
    </row>
    <row r="6" spans="1:5" x14ac:dyDescent="0.2">
      <c r="A6" s="2" t="s">
        <v>5</v>
      </c>
      <c r="B6" s="2" t="s">
        <v>50</v>
      </c>
      <c r="C6" s="3">
        <v>60</v>
      </c>
      <c r="D6" s="2" t="s">
        <v>51</v>
      </c>
      <c r="E6" s="2" t="s">
        <v>52</v>
      </c>
    </row>
    <row r="7" spans="1:5" x14ac:dyDescent="0.2">
      <c r="A7" s="2" t="s">
        <v>5</v>
      </c>
      <c r="B7" s="2" t="s">
        <v>53</v>
      </c>
      <c r="C7" s="3">
        <v>228.8</v>
      </c>
      <c r="D7" s="2" t="s">
        <v>51</v>
      </c>
      <c r="E7" s="2" t="s">
        <v>54</v>
      </c>
    </row>
    <row r="8" spans="1:5" x14ac:dyDescent="0.2">
      <c r="A8" s="2" t="s">
        <v>5</v>
      </c>
      <c r="B8" s="2" t="s">
        <v>55</v>
      </c>
      <c r="C8" s="3">
        <v>229.4</v>
      </c>
      <c r="D8" s="2" t="s">
        <v>41</v>
      </c>
      <c r="E8" s="2"/>
    </row>
    <row r="9" spans="1:5" x14ac:dyDescent="0.2">
      <c r="A9" s="2" t="s">
        <v>5</v>
      </c>
      <c r="B9" s="2" t="s">
        <v>56</v>
      </c>
      <c r="C9" s="3">
        <v>113.2</v>
      </c>
      <c r="D9" s="2" t="s">
        <v>57</v>
      </c>
      <c r="E9" s="2" t="s">
        <v>58</v>
      </c>
    </row>
    <row r="10" spans="1:5" x14ac:dyDescent="0.2">
      <c r="A10" s="6" t="s">
        <v>22</v>
      </c>
      <c r="B10" s="6" t="s">
        <v>59</v>
      </c>
      <c r="C10" s="7">
        <v>938.2</v>
      </c>
      <c r="D10" s="6" t="s">
        <v>46</v>
      </c>
      <c r="E10" s="6" t="s">
        <v>60</v>
      </c>
    </row>
    <row r="11" spans="1:5" x14ac:dyDescent="0.2">
      <c r="A11" s="2" t="s">
        <v>22</v>
      </c>
      <c r="B11" s="2" t="s">
        <v>61</v>
      </c>
      <c r="C11" s="3">
        <v>16</v>
      </c>
      <c r="D11" s="2" t="s">
        <v>57</v>
      </c>
      <c r="E11" s="2"/>
    </row>
    <row r="12" spans="1:5" x14ac:dyDescent="0.2">
      <c r="A12" s="2" t="s">
        <v>22</v>
      </c>
      <c r="B12" s="2" t="s">
        <v>62</v>
      </c>
      <c r="C12" s="3">
        <v>24.5</v>
      </c>
      <c r="D12" s="2" t="s">
        <v>51</v>
      </c>
      <c r="E12" s="2" t="s">
        <v>52</v>
      </c>
    </row>
    <row r="13" spans="1:5" x14ac:dyDescent="0.2">
      <c r="A13" s="6" t="s">
        <v>22</v>
      </c>
      <c r="B13" s="6" t="s">
        <v>63</v>
      </c>
      <c r="C13" s="7">
        <v>38.6</v>
      </c>
      <c r="D13" s="6" t="s">
        <v>64</v>
      </c>
      <c r="E13" s="6" t="s">
        <v>65</v>
      </c>
    </row>
    <row r="14" spans="1:5" x14ac:dyDescent="0.2">
      <c r="A14" s="2" t="s">
        <v>22</v>
      </c>
      <c r="B14" s="2" t="s">
        <v>66</v>
      </c>
      <c r="C14" s="3">
        <v>5.2</v>
      </c>
      <c r="D14" s="2" t="s">
        <v>51</v>
      </c>
      <c r="E14" s="2"/>
    </row>
    <row r="15" spans="1:5" x14ac:dyDescent="0.2">
      <c r="A15" s="2" t="s">
        <v>22</v>
      </c>
      <c r="B15" s="2" t="s">
        <v>67</v>
      </c>
      <c r="C15" s="3">
        <v>5.2</v>
      </c>
      <c r="D15" s="2" t="s">
        <v>51</v>
      </c>
      <c r="E15" s="2"/>
    </row>
    <row r="16" spans="1:5" x14ac:dyDescent="0.2">
      <c r="A16" s="2" t="s">
        <v>22</v>
      </c>
      <c r="B16" s="2" t="s">
        <v>68</v>
      </c>
      <c r="C16" s="3">
        <v>64.5</v>
      </c>
      <c r="D16" s="2" t="s">
        <v>41</v>
      </c>
      <c r="E16" s="2"/>
    </row>
    <row r="17" spans="1:5" x14ac:dyDescent="0.2">
      <c r="A17" s="2" t="s">
        <v>22</v>
      </c>
      <c r="B17" s="2" t="s">
        <v>69</v>
      </c>
      <c r="C17" s="3">
        <v>21.2</v>
      </c>
      <c r="D17" s="2" t="s">
        <v>57</v>
      </c>
      <c r="E17" s="2"/>
    </row>
    <row r="18" spans="1:5" x14ac:dyDescent="0.2">
      <c r="A18" s="2" t="s">
        <v>22</v>
      </c>
      <c r="B18" s="2" t="s">
        <v>70</v>
      </c>
      <c r="C18" s="3">
        <v>25.3</v>
      </c>
      <c r="D18" s="2" t="s">
        <v>57</v>
      </c>
      <c r="E18" s="2"/>
    </row>
    <row r="19" spans="1:5" x14ac:dyDescent="0.2">
      <c r="A19" s="4"/>
      <c r="B19" s="4" t="s">
        <v>71</v>
      </c>
      <c r="C19" s="5">
        <f>SUM(C2:C18)</f>
        <v>4454.4000000000005</v>
      </c>
      <c r="D19" s="4"/>
      <c r="E19" s="4"/>
    </row>
    <row r="20" spans="1:5" x14ac:dyDescent="0.2">
      <c r="A20" s="4"/>
      <c r="B20" s="4" t="s">
        <v>72</v>
      </c>
      <c r="C20" s="5">
        <f>C4+C5+C6+C7+C10+C12+C13+C14+C15</f>
        <v>1434.4</v>
      </c>
      <c r="D20" s="4"/>
      <c r="E20" s="4" t="s">
        <v>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40" customWidth="1"/>
    <col min="2" max="2" width="13" customWidth="1"/>
    <col min="3" max="3" width="16" customWidth="1"/>
    <col min="4" max="4" width="12" customWidth="1"/>
    <col min="5" max="5" width="34" customWidth="1"/>
    <col min="6" max="6" width="14" customWidth="1"/>
    <col min="7" max="7" width="16" customWidth="1"/>
  </cols>
  <sheetData>
    <row r="1" spans="1:7" ht="30" customHeight="1" x14ac:dyDescent="0.2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</row>
    <row r="2" spans="1:7" x14ac:dyDescent="0.2">
      <c r="A2" s="2" t="s">
        <v>81</v>
      </c>
      <c r="B2" s="3">
        <v>2403.1999999999998</v>
      </c>
      <c r="C2" s="3">
        <v>536.20000000000005</v>
      </c>
      <c r="D2" s="3">
        <f>B2+C2</f>
        <v>2939.3999999999996</v>
      </c>
      <c r="E2" s="2" t="s">
        <v>82</v>
      </c>
      <c r="F2" s="3">
        <v>15049.1</v>
      </c>
      <c r="G2" s="8">
        <f>D2/F2</f>
        <v>0.1953206504043431</v>
      </c>
    </row>
    <row r="3" spans="1:7" x14ac:dyDescent="0.2">
      <c r="A3" s="2" t="s">
        <v>83</v>
      </c>
      <c r="B3" s="3">
        <v>1902.7</v>
      </c>
      <c r="C3" s="3">
        <v>26.9</v>
      </c>
      <c r="D3" s="3">
        <f>B3+C3</f>
        <v>1929.6000000000001</v>
      </c>
      <c r="E3" s="2" t="s">
        <v>84</v>
      </c>
      <c r="F3" s="3">
        <v>15049.1</v>
      </c>
      <c r="G3" s="8">
        <f>D3/F3</f>
        <v>0.12822029224338999</v>
      </c>
    </row>
    <row r="4" spans="1:7" x14ac:dyDescent="0.2">
      <c r="A4" s="2" t="s">
        <v>85</v>
      </c>
      <c r="B4" s="3">
        <v>491.7</v>
      </c>
      <c r="C4" s="3">
        <v>172</v>
      </c>
      <c r="D4" s="3">
        <f>B4+C4</f>
        <v>663.7</v>
      </c>
      <c r="E4" s="2" t="s">
        <v>86</v>
      </c>
      <c r="F4" s="3">
        <v>3721.6</v>
      </c>
      <c r="G4" s="8">
        <f>D4/F4</f>
        <v>0.17833727429062771</v>
      </c>
    </row>
    <row r="5" spans="1:7" x14ac:dyDescent="0.2">
      <c r="A5" s="2" t="s">
        <v>87</v>
      </c>
      <c r="B5" s="3">
        <v>183.6</v>
      </c>
      <c r="C5" s="3">
        <v>873.7</v>
      </c>
      <c r="D5" s="3">
        <f>B5+C5</f>
        <v>1057.3</v>
      </c>
      <c r="E5" s="2" t="s">
        <v>88</v>
      </c>
      <c r="F5" s="3" t="s">
        <v>89</v>
      </c>
      <c r="G5" s="8" t="s">
        <v>90</v>
      </c>
    </row>
    <row r="6" spans="1:7" x14ac:dyDescent="0.2">
      <c r="A6" s="2" t="s">
        <v>91</v>
      </c>
      <c r="B6" s="3">
        <v>0</v>
      </c>
      <c r="C6" s="3">
        <v>752.2</v>
      </c>
      <c r="D6" s="3">
        <f>B6+C6</f>
        <v>752.2</v>
      </c>
      <c r="E6" s="2" t="s">
        <v>92</v>
      </c>
      <c r="F6" s="3" t="s">
        <v>89</v>
      </c>
      <c r="G6" s="8" t="s">
        <v>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1"/>
  <sheetViews>
    <sheetView zoomScaleNormal="100" workbookViewId="0"/>
  </sheetViews>
  <sheetFormatPr baseColWidth="10" defaultColWidth="8.6640625" defaultRowHeight="15" x14ac:dyDescent="0.2"/>
  <cols>
    <col min="1" max="1" width="99" customWidth="1"/>
  </cols>
  <sheetData>
    <row r="1" spans="1:1" ht="16" x14ac:dyDescent="0.2">
      <c r="A1" s="9" t="s">
        <v>93</v>
      </c>
    </row>
    <row r="2" spans="1:1" x14ac:dyDescent="0.2">
      <c r="A2" s="10"/>
    </row>
    <row r="3" spans="1:1" x14ac:dyDescent="0.2">
      <c r="A3" s="10" t="s">
        <v>94</v>
      </c>
    </row>
    <row r="4" spans="1:1" x14ac:dyDescent="0.2">
      <c r="A4" s="10" t="s">
        <v>95</v>
      </c>
    </row>
    <row r="5" spans="1:1" x14ac:dyDescent="0.2">
      <c r="A5" s="10"/>
    </row>
    <row r="6" spans="1:1" x14ac:dyDescent="0.2">
      <c r="A6" s="11" t="s">
        <v>96</v>
      </c>
    </row>
    <row r="7" spans="1:1" x14ac:dyDescent="0.2">
      <c r="A7" s="10" t="s">
        <v>97</v>
      </c>
    </row>
    <row r="8" spans="1:1" x14ac:dyDescent="0.2">
      <c r="A8" s="10" t="s">
        <v>98</v>
      </c>
    </row>
    <row r="9" spans="1:1" x14ac:dyDescent="0.2">
      <c r="A9" s="10" t="s">
        <v>99</v>
      </c>
    </row>
    <row r="10" spans="1:1" x14ac:dyDescent="0.2">
      <c r="A10" s="10" t="s">
        <v>100</v>
      </c>
    </row>
    <row r="11" spans="1:1" x14ac:dyDescent="0.2">
      <c r="A11" s="10" t="s">
        <v>101</v>
      </c>
    </row>
    <row r="12" spans="1:1" x14ac:dyDescent="0.2">
      <c r="A12" s="10" t="s">
        <v>102</v>
      </c>
    </row>
    <row r="13" spans="1:1" x14ac:dyDescent="0.2">
      <c r="A13" s="10" t="s">
        <v>103</v>
      </c>
    </row>
    <row r="14" spans="1:1" x14ac:dyDescent="0.2">
      <c r="A14" s="10" t="s">
        <v>104</v>
      </c>
    </row>
    <row r="15" spans="1:1" x14ac:dyDescent="0.2">
      <c r="A15" s="10" t="s">
        <v>105</v>
      </c>
    </row>
    <row r="16" spans="1:1" x14ac:dyDescent="0.2">
      <c r="A16" s="10" t="s">
        <v>106</v>
      </c>
    </row>
    <row r="17" spans="1:1" x14ac:dyDescent="0.2">
      <c r="A17" s="10"/>
    </row>
    <row r="18" spans="1:1" x14ac:dyDescent="0.2">
      <c r="A18" s="11" t="s">
        <v>107</v>
      </c>
    </row>
    <row r="19" spans="1:1" x14ac:dyDescent="0.2">
      <c r="A19" s="10" t="s">
        <v>108</v>
      </c>
    </row>
    <row r="20" spans="1:1" x14ac:dyDescent="0.2">
      <c r="A20" s="10" t="s">
        <v>109</v>
      </c>
    </row>
    <row r="21" spans="1:1" x14ac:dyDescent="0.2">
      <c r="A21" s="10" t="s">
        <v>110</v>
      </c>
    </row>
    <row r="22" spans="1:1" x14ac:dyDescent="0.2">
      <c r="A22" s="10" t="s">
        <v>111</v>
      </c>
    </row>
    <row r="23" spans="1:1" x14ac:dyDescent="0.2">
      <c r="A23" s="10" t="s">
        <v>112</v>
      </c>
    </row>
    <row r="24" spans="1:1" x14ac:dyDescent="0.2">
      <c r="A24" s="10"/>
    </row>
    <row r="25" spans="1:1" x14ac:dyDescent="0.2">
      <c r="A25" s="11" t="s">
        <v>113</v>
      </c>
    </row>
    <row r="26" spans="1:1" x14ac:dyDescent="0.2">
      <c r="A26" s="10" t="s">
        <v>114</v>
      </c>
    </row>
    <row r="27" spans="1:1" x14ac:dyDescent="0.2">
      <c r="A27" s="10" t="s">
        <v>115</v>
      </c>
    </row>
    <row r="28" spans="1:1" x14ac:dyDescent="0.2">
      <c r="A28" s="10" t="s">
        <v>116</v>
      </c>
    </row>
    <row r="29" spans="1:1" x14ac:dyDescent="0.2">
      <c r="A29" s="10" t="s">
        <v>117</v>
      </c>
    </row>
    <row r="30" spans="1:1" x14ac:dyDescent="0.2">
      <c r="A30" s="10" t="s">
        <v>118</v>
      </c>
    </row>
    <row r="31" spans="1:1" x14ac:dyDescent="0.2">
      <c r="A31" s="10" t="s">
        <v>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Receipts</vt:lpstr>
      <vt:lpstr>Transfers &amp; stabilizers</vt:lpstr>
      <vt:lpstr>Base linkage &amp; eff. rates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 R. Wszolek</cp:lastModifiedBy>
  <cp:revision>0</cp:revision>
  <dcterms:created xsi:type="dcterms:W3CDTF">2026-06-17T21:41:45Z</dcterms:created>
  <dcterms:modified xsi:type="dcterms:W3CDTF">2026-06-17T21:52:08Z</dcterms:modified>
  <dc:language>en-US</dc:language>
</cp:coreProperties>
</file>